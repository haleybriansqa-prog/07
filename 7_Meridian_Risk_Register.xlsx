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/>
  <mc:AlternateContent xmlns:mc="http://schemas.openxmlformats.org/markup-compatibility/2006">
    <mc:Choice Requires="x15">
      <x15ac:absPath xmlns:x15ac="http://schemas.microsoft.com/office/spreadsheetml/2010/11/ac" url="/Users/brianhaley/Desktop/GIT HUb projects/"/>
    </mc:Choice>
  </mc:AlternateContent>
  <xr:revisionPtr revIDLastSave="0" documentId="8_{3A247DF0-EAEC-0D42-9D02-9DDCE45DE6A7}" xr6:coauthVersionLast="47" xr6:coauthVersionMax="47" xr10:uidLastSave="{00000000-0000-0000-0000-000000000000}"/>
  <bookViews>
    <workbookView xWindow="0" yWindow="600" windowWidth="22260" windowHeight="16480" tabRatio="500" activeTab="2" xr2:uid="{00000000-000D-0000-FFFF-FFFF00000000}"/>
  </bookViews>
  <sheets>
    <sheet name="Risk Register" sheetId="1" r:id="rId1"/>
    <sheet name="Risk Scoring Matrix" sheetId="2" r:id="rId2"/>
    <sheet name="Executive Summary" sheetId="3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15" i="1" l="1"/>
  <c r="G14" i="1"/>
  <c r="G13" i="1"/>
  <c r="G12" i="1"/>
  <c r="G11" i="1"/>
  <c r="G10" i="1"/>
  <c r="G9" i="1"/>
  <c r="G8" i="1"/>
  <c r="G7" i="1"/>
  <c r="G6" i="1"/>
  <c r="G5" i="1"/>
  <c r="G4" i="1"/>
</calcChain>
</file>

<file path=xl/sharedStrings.xml><?xml version="1.0" encoding="utf-8"?>
<sst xmlns="http://schemas.openxmlformats.org/spreadsheetml/2006/main" count="217" uniqueCount="144">
  <si>
    <t>MERIDIAN CONSULTING — INFORMATION SECURITY RISK REGISTER</t>
  </si>
  <si>
    <t>50-Person Professional Services Firm  |  Prepared: 2026-06-01  |  Next Review: 2026-12-01  |  Owner: IT Manager</t>
  </si>
  <si>
    <t>Risk ID</t>
  </si>
  <si>
    <t>Risk Name</t>
  </si>
  <si>
    <t>Category</t>
  </si>
  <si>
    <t>Description</t>
  </si>
  <si>
    <t>Likelihood
(1–5)</t>
  </si>
  <si>
    <t>Impact
(1–5)</t>
  </si>
  <si>
    <t>Risk Score
(L×I)</t>
  </si>
  <si>
    <t>Risk Level</t>
  </si>
  <si>
    <t>Current Controls</t>
  </si>
  <si>
    <t>Response</t>
  </si>
  <si>
    <t>Residual
Risk Score</t>
  </si>
  <si>
    <t>Residual
Risk Level</t>
  </si>
  <si>
    <t>Risk Owner</t>
  </si>
  <si>
    <t>Review Date</t>
  </si>
  <si>
    <t>R-001</t>
  </si>
  <si>
    <t>Ransomware via Phishing</t>
  </si>
  <si>
    <t>Technology</t>
  </si>
  <si>
    <t>Employee clicks malicious email link or attachment, deploying ransomware that encrypts M365, Salesforce data, and all 50 laptops. No offline backups exist.</t>
  </si>
  <si>
    <t>Critical</t>
  </si>
  <si>
    <t>M365 basic email filtering; no EDR, no security awareness training, no immutable backups</t>
  </si>
  <si>
    <t>Mitigate</t>
  </si>
  <si>
    <t>Medium</t>
  </si>
  <si>
    <t>IT Manager</t>
  </si>
  <si>
    <t>2026-12-01</t>
  </si>
  <si>
    <t>R-002</t>
  </si>
  <si>
    <t>Credential Theft / Account Takeover</t>
  </si>
  <si>
    <t>Attacker compromises employee credentials via phishing or password spray, gaining access to M365, Salesforce, and financial data. No MFA enforced.</t>
  </si>
  <si>
    <t>High</t>
  </si>
  <si>
    <t>Minimum 8-char password policy; no MFA, no SIEM, no anomalous login alerting</t>
  </si>
  <si>
    <t>R-003</t>
  </si>
  <si>
    <t>Sensitive Data Breach via Lost/Stolen Laptop</t>
  </si>
  <si>
    <t>Unencrypted laptop containing client PII, contracts, or financial records is lost or stolen. 50 laptops, mix of personal and corporate devices.</t>
  </si>
  <si>
    <t>No confirmed full-disk encryption policy; no MDM/device management enforced</t>
  </si>
  <si>
    <t>2026-09-01</t>
  </si>
  <si>
    <t>R-004</t>
  </si>
  <si>
    <t>Insider Threat — Malicious Data Exfiltration</t>
  </si>
  <si>
    <t>People</t>
  </si>
  <si>
    <t>Disgruntled or departing employee exfiltrates client data, trade secrets, or financial records via personal email, USB, or cloud storage.</t>
  </si>
  <si>
    <t>No DLP controls; no USB restrictions; offboarding checklist exists but not audited</t>
  </si>
  <si>
    <t>HR Manager</t>
  </si>
  <si>
    <t>R-005</t>
  </si>
  <si>
    <t>Third-Party / SaaS Vendor Breach</t>
  </si>
  <si>
    <t>External</t>
  </si>
  <si>
    <t>Salesforce, M365, or project management tool suffers a breach exposing Meridian client data. Company has no vendor security review process.</t>
  </si>
  <si>
    <t>Vendor contractual SLAs only; no vendor risk assessments, no security questionnaires</t>
  </si>
  <si>
    <t>Transfer</t>
  </si>
  <si>
    <t>R-006</t>
  </si>
  <si>
    <t>Unpatched Software Vulnerabilities</t>
  </si>
  <si>
    <t>Outdated OS or application vulnerabilities exploited on employee laptops. No centralized patch management with only 2 IT staff.</t>
  </si>
  <si>
    <t>Manual patching; Windows Update enabled on most machines; no MDM enforcement</t>
  </si>
  <si>
    <t>Low</t>
  </si>
  <si>
    <t>R-007</t>
  </si>
  <si>
    <t>Business Email Compromise (BEC)</t>
  </si>
  <si>
    <t>Attacker impersonates CEO or CFO via spoofed email to trick finance staff into fraudulent wire transfer. Common in $5-10M revenue firms.</t>
  </si>
  <si>
    <t>M365 anti-spoofing (basic); no DMARC enforcement; no wire transfer approval process</t>
  </si>
  <si>
    <t>CFO</t>
  </si>
  <si>
    <t>R-008</t>
  </si>
  <si>
    <t>No Security Awareness Training</t>
  </si>
  <si>
    <t>Employees unable to recognize phishing, social engineering, or data handling violations. Increases likelihood of nearly every other risk.</t>
  </si>
  <si>
    <t>No formal training program; ad-hoc IT reminders only</t>
  </si>
  <si>
    <t>R-009</t>
  </si>
  <si>
    <t>CCPA / State Privacy Law Non-Compliance</t>
  </si>
  <si>
    <t>Process</t>
  </si>
  <si>
    <t>Meridian processes California client PII without a compliant privacy policy, data inventory, or breach notification procedure. CCPA fines up to $7,500/record.</t>
  </si>
  <si>
    <t>Basic privacy policy on website; no data inventory, no formal breach response plan</t>
  </si>
  <si>
    <t>Legal / COO</t>
  </si>
  <si>
    <t>R-010</t>
  </si>
  <si>
    <t>No Incident Response Plan</t>
  </si>
  <si>
    <t>No documented IR plan exists. In the event of ransomware, breach, or BEC, the team has no defined steps, contacts, or recovery procedures, extending downtime.</t>
  </si>
  <si>
    <t>No IRP; IT manager handles incidents ad hoc; no cyber insurance confirmed</t>
  </si>
  <si>
    <t>IT Manager / COO</t>
  </si>
  <si>
    <t>R-011</t>
  </si>
  <si>
    <t>Shadow IT — Unauthorized Cloud App Usage</t>
  </si>
  <si>
    <t>Employees store client files in personal Dropbox, Google Drive, or other unapproved apps, bypassing M365 security controls and creating unmanaged data stores.</t>
  </si>
  <si>
    <t>Acceptable Use Policy exists but not enforced; no CASB or cloud app monitoring</t>
  </si>
  <si>
    <t>Accept</t>
  </si>
  <si>
    <t>R-012</t>
  </si>
  <si>
    <t>Physical Security — Office Tailgating</t>
  </si>
  <si>
    <t>Unauthorized individual gains physical access to office, accesses unlocked workstations, or steals hardware. Office in shared co-working building.</t>
  </si>
  <si>
    <t>Keycard entry to suite; no camera system; clean desk policy not enforced</t>
  </si>
  <si>
    <t>Office Manager</t>
  </si>
  <si>
    <t>RISK SCORING MATRIX</t>
  </si>
  <si>
    <t>Risk Score = Likelihood × Impact   |   Scores: 1–4 = Low   5–9 = Medium   10–16 = High   17–25 = Critical</t>
  </si>
  <si>
    <t>LIKELIHOOD ↓</t>
  </si>
  <si>
    <t>IMPACT →</t>
  </si>
  <si>
    <t>Impact 1
Minimal</t>
  </si>
  <si>
    <t>Impact 2
Minor</t>
  </si>
  <si>
    <t>Impact 3
Moderate</t>
  </si>
  <si>
    <t>Impact 4
Severe</t>
  </si>
  <si>
    <t>Impact 5
Catastrophic</t>
  </si>
  <si>
    <t>Likelihood 5
Almost Certain</t>
  </si>
  <si>
    <t>5</t>
  </si>
  <si>
    <t>10</t>
  </si>
  <si>
    <t>15</t>
  </si>
  <si>
    <t>20</t>
  </si>
  <si>
    <t>25</t>
  </si>
  <si>
    <t>Likelihood 4
Likely</t>
  </si>
  <si>
    <t>4</t>
  </si>
  <si>
    <t>8</t>
  </si>
  <si>
    <t>12</t>
  </si>
  <si>
    <t>16</t>
  </si>
  <si>
    <t>Likelihood 3
Possible</t>
  </si>
  <si>
    <t>3</t>
  </si>
  <si>
    <t>6</t>
  </si>
  <si>
    <t>9</t>
  </si>
  <si>
    <t>Likelihood 2
Unlikely</t>
  </si>
  <si>
    <t>2</t>
  </si>
  <si>
    <t>Likelihood 1
Rare</t>
  </si>
  <si>
    <t>1</t>
  </si>
  <si>
    <t>LEGEND</t>
  </si>
  <si>
    <t>1–4</t>
  </si>
  <si>
    <t>5–9</t>
  </si>
  <si>
    <t>10–16</t>
  </si>
  <si>
    <t>17–25</t>
  </si>
  <si>
    <t>MERIDIAN CONSULTING — RISK REGISTER EXECUTIVE SUMMARY</t>
  </si>
  <si>
    <t>Prepared: June 1, 2026  |  Prepared by: Security Analyst  |  Review Cycle: Semi-Annual</t>
  </si>
  <si>
    <t>RISK PORTFOLIO OVERVIEW</t>
  </si>
  <si>
    <t>Critical Risks (Score 17–25)</t>
  </si>
  <si>
    <t>High Risks (Score 10–16)</t>
  </si>
  <si>
    <t>Medium Risks (Score 5–9)</t>
  </si>
  <si>
    <t>Low Risks (Score 1–4)</t>
  </si>
  <si>
    <t>Total Risks Identified</t>
  </si>
  <si>
    <t>TOP 3 PRIORITY RISKS</t>
  </si>
  <si>
    <t>#1 — R-001: Ransomware via Phishing (Score: 20 — Critical)</t>
  </si>
  <si>
    <t>Ransomware represents the highest risk to Meridian. With no EDR, no immutable backups, and no security awareness training, a single phishing click could encrypt all company and client data. Priority actions: (1) Deploy Microsoft Defender for Endpoint or equivalent EDR on all 50 laptops. (2) Implement M365 Backup or Azure Backup for immutable cloud backups. (3) Launch mandatory phishing awareness training immediately.</t>
  </si>
  <si>
    <t>#2 — R-002: Credential Theft / Account Takeover (Score: 16 — High)</t>
  </si>
  <si>
    <t>With no MFA enforced across M365 and Salesforce, a single compromised password grants full access to all company data and client records. This is the lowest-effort, highest-return attack for adversaries. Priority action: Enable MFA company-wide in M365 immediately — this is a one-day fix that eliminates 99% of account takeover risk.</t>
  </si>
  <si>
    <t>#3 — R-010: No Incident Response Plan (Score: 16 — High)</t>
  </si>
  <si>
    <t>Without a documented IR plan, any security incident — ransomware, breach, or BEC — will result in chaotic, slow response that extends downtime and increases regulatory exposure. Priority action: Draft a basic IR plan covering: (1) who to call, (2) how to contain, (3) how to notify clients and regulators. CCPA requires breach notification within 72 hours.</t>
  </si>
  <si>
    <t>RECOMMENDED IMMEDIATE ACTIONS (QUICK WINS)</t>
  </si>
  <si>
    <t>1. Enable MFA on M365 and Salesforce</t>
  </si>
  <si>
    <t>Est. effort: 1 day | Cost: Included in M365 license | Eliminates ~99% of account takeover risk</t>
  </si>
  <si>
    <t>2. Deploy EDR on all 50 laptops</t>
  </si>
  <si>
    <t>Est. effort: 1 week | Cost: ~$5-10/user/month | Detects and stops ransomware execution</t>
  </si>
  <si>
    <t>3. Launch security awareness training</t>
  </si>
  <si>
    <t>Est. effort: 2 weeks setup | Cost: ~$20-30/user/year | Reduces phishing click rate by 70%+</t>
  </si>
  <si>
    <t>4. Draft Incident Response Plan</t>
  </si>
  <si>
    <t>Est. effort: 1 week | Cost: Internal time only | Required for CCPA breach notification compliance</t>
  </si>
  <si>
    <t>5. Implement immutable M365 backup</t>
  </si>
  <si>
    <t>Est. effort: 3 days | Cost: ~$3/user/month | Enables recovery from ransomware without paying ransom</t>
  </si>
  <si>
    <t>6. Conduct data inventory / CCPA assessment</t>
  </si>
  <si>
    <t>Est. effort: 2-4 weeks | Cost: Internal + optional legal review | Prevents $7,500/record CCPA fines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</si>
</sst>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charset val="1"/>
    </font>
    <font>
      <b/>
      <sz val="14"/>
      <color rgb="FFFFFFFF"/>
      <name val="Arial"/>
      <family val="2"/>
    </font>
    <font>
      <i/>
      <sz val="10"/>
      <color rgb="FFFFFFFF"/>
      <name val="Arial"/>
      <family val="2"/>
    </font>
    <font>
      <b/>
      <sz val="11"/>
      <color rgb="FFFFFFFF"/>
      <name val="Arial"/>
      <family val="2"/>
    </font>
    <font>
      <b/>
      <sz val="11"/>
      <color rgb="FF2E75B6"/>
      <name val="Arial"/>
      <family val="2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b/>
      <sz val="11"/>
      <color rgb="FFC00000"/>
      <name val="Arial"/>
      <family val="2"/>
    </font>
    <font>
      <b/>
      <sz val="11"/>
      <color rgb="FFF0B400"/>
      <name val="Arial"/>
      <family val="2"/>
    </font>
    <font>
      <b/>
      <sz val="11"/>
      <color rgb="FFE36C09"/>
      <name val="Arial"/>
      <family val="2"/>
    </font>
    <font>
      <b/>
      <sz val="11"/>
      <color rgb="FF375623"/>
      <name val="Arial"/>
      <family val="2"/>
    </font>
    <font>
      <b/>
      <sz val="12"/>
      <color rgb="FF000000"/>
      <name val="Arial"/>
      <family val="2"/>
    </font>
    <font>
      <b/>
      <sz val="12"/>
      <color rgb="FFFFFFFF"/>
      <name val="Arial"/>
      <family val="2"/>
    </font>
    <font>
      <b/>
      <sz val="12"/>
      <color rgb="FF1F3864"/>
      <name val="Arial"/>
      <family val="2"/>
    </font>
    <font>
      <b/>
      <sz val="13"/>
      <color rgb="FFFFFFFF"/>
      <name val="Arial"/>
      <family val="2"/>
    </font>
    <font>
      <b/>
      <sz val="12"/>
      <color rgb="FFC00000"/>
      <name val="Arial"/>
      <family val="2"/>
    </font>
    <font>
      <b/>
      <sz val="12"/>
      <color rgb="FFE36C09"/>
      <name val="Arial"/>
      <family val="2"/>
    </font>
    <font>
      <b/>
      <sz val="12"/>
      <color rgb="FFF0B400"/>
      <name val="Arial"/>
      <family val="2"/>
    </font>
    <font>
      <b/>
      <sz val="12"/>
      <color rgb="FF375623"/>
      <name val="Arial"/>
      <family val="2"/>
    </font>
    <font>
      <b/>
      <sz val="11"/>
      <color rgb="FF1F3864"/>
      <name val="Arial"/>
      <family val="2"/>
    </font>
    <font>
      <sz val="10"/>
      <color rgb="FF00000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2E75B6"/>
        <bgColor rgb="FF0066CC"/>
      </patternFill>
    </fill>
    <fill>
      <patternFill patternType="solid">
        <fgColor rgb="FFFFFFFF"/>
        <bgColor rgb="FFF0F4FA"/>
      </patternFill>
    </fill>
    <fill>
      <patternFill patternType="solid">
        <fgColor rgb="FFFCE4D6"/>
        <bgColor rgb="FFFDE9D9"/>
      </patternFill>
    </fill>
    <fill>
      <patternFill patternType="solid">
        <fgColor rgb="FFFFEB9C"/>
        <bgColor rgb="FFFCE4D6"/>
      </patternFill>
    </fill>
    <fill>
      <patternFill patternType="solid">
        <fgColor rgb="FFF0F4FA"/>
        <bgColor rgb="FFFFFFFF"/>
      </patternFill>
    </fill>
    <fill>
      <patternFill patternType="solid">
        <fgColor rgb="FFFDE9D9"/>
        <bgColor rgb="FFFCE4D6"/>
      </patternFill>
    </fill>
    <fill>
      <patternFill patternType="solid">
        <fgColor rgb="FFE2EFDA"/>
        <bgColor rgb="FFF0F4FA"/>
      </patternFill>
    </fill>
    <fill>
      <patternFill patternType="solid">
        <fgColor rgb="FFF0B400"/>
        <bgColor rgb="FFFF9900"/>
      </patternFill>
    </fill>
    <fill>
      <patternFill patternType="solid">
        <fgColor rgb="FFE36C09"/>
        <bgColor rgb="FFFF9900"/>
      </patternFill>
    </fill>
    <fill>
      <patternFill patternType="solid">
        <fgColor rgb="FFC00000"/>
        <bgColor rgb="FF800000"/>
      </patternFill>
    </fill>
    <fill>
      <patternFill patternType="solid">
        <fgColor rgb="FF92D050"/>
        <bgColor rgb="FF969696"/>
      </patternFill>
    </fill>
    <fill>
      <patternFill patternType="solid">
        <fgColor rgb="FFD6E4F7"/>
        <bgColor rgb="FFE2EFDA"/>
      </patternFill>
    </fill>
  </fills>
  <borders count="4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</borders>
  <cellStyleXfs count="1">
    <xf numFmtId="0" fontId="0" fillId="0" borderId="0"/>
  </cellStyleXfs>
  <cellXfs count="46">
    <xf numFmtId="0" fontId="0" fillId="0" borderId="0" xfId="0"/>
    <xf numFmtId="0" fontId="9" fillId="8" borderId="2" xfId="0" applyFont="1" applyFill="1" applyBorder="1" applyAlignment="1">
      <alignment horizontal="left" vertical="center" wrapText="1"/>
    </xf>
    <xf numFmtId="0" fontId="20" fillId="4" borderId="3" xfId="0" applyFont="1" applyFill="1" applyBorder="1" applyAlignment="1">
      <alignment horizontal="left" vertical="top" wrapText="1"/>
    </xf>
    <xf numFmtId="0" fontId="7" fillId="5" borderId="2" xfId="0" applyFont="1" applyFill="1" applyBorder="1" applyAlignment="1">
      <alignment horizontal="left" vertical="center" wrapText="1"/>
    </xf>
    <xf numFmtId="0" fontId="13" fillId="0" borderId="0" xfId="0" applyFont="1"/>
    <xf numFmtId="0" fontId="14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left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left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9" fillId="8" borderId="1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11" fillId="10" borderId="1" xfId="0" applyFont="1" applyFill="1" applyBorder="1" applyAlignment="1">
      <alignment horizontal="center" vertical="center" wrapText="1"/>
    </xf>
    <xf numFmtId="0" fontId="12" fillId="11" borderId="1" xfId="0" applyFont="1" applyFill="1" applyBorder="1" applyAlignment="1">
      <alignment horizontal="center" vertical="center" wrapText="1"/>
    </xf>
    <xf numFmtId="0" fontId="12" fillId="12" borderId="1" xfId="0" applyFont="1" applyFill="1" applyBorder="1" applyAlignment="1">
      <alignment horizontal="center" vertical="center" wrapText="1"/>
    </xf>
    <xf numFmtId="0" fontId="11" fillId="13" borderId="1" xfId="0" applyFont="1" applyFill="1" applyBorder="1" applyAlignment="1">
      <alignment horizontal="center" vertical="center" wrapText="1"/>
    </xf>
    <xf numFmtId="0" fontId="13" fillId="0" borderId="0" xfId="0" applyFont="1"/>
    <xf numFmtId="0" fontId="5" fillId="13" borderId="1" xfId="0" applyFont="1" applyFill="1" applyBorder="1" applyAlignment="1">
      <alignment horizontal="center" vertical="center" wrapText="1"/>
    </xf>
    <xf numFmtId="0" fontId="5" fillId="10" borderId="1" xfId="0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left" vertical="center" wrapText="1"/>
    </xf>
    <xf numFmtId="0" fontId="15" fillId="5" borderId="1" xfId="0" applyFont="1" applyFill="1" applyBorder="1" applyAlignment="1">
      <alignment horizontal="center" vertical="center" wrapText="1"/>
    </xf>
    <xf numFmtId="0" fontId="9" fillId="8" borderId="1" xfId="0" applyFont="1" applyFill="1" applyBorder="1" applyAlignment="1">
      <alignment horizontal="left" vertical="center" wrapText="1"/>
    </xf>
    <xf numFmtId="0" fontId="16" fillId="8" borderId="1" xfId="0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left" vertical="center" wrapText="1"/>
    </xf>
    <xf numFmtId="0" fontId="17" fillId="6" borderId="1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left" vertical="center" wrapText="1"/>
    </xf>
    <xf numFmtId="0" fontId="18" fillId="9" borderId="1" xfId="0" applyFont="1" applyFill="1" applyBorder="1" applyAlignment="1">
      <alignment horizontal="center" vertical="center" wrapText="1"/>
    </xf>
    <xf numFmtId="0" fontId="19" fillId="14" borderId="1" xfId="0" applyFont="1" applyFill="1" applyBorder="1" applyAlignment="1">
      <alignment horizontal="left" vertical="center" wrapText="1"/>
    </xf>
    <xf numFmtId="0" fontId="13" fillId="14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20" fillId="1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DE9D9"/>
      <rgbColor rgb="FFF0F4FA"/>
      <rgbColor rgb="FF660066"/>
      <rgbColor rgb="FFFF8080"/>
      <rgbColor rgb="FF0066CC"/>
      <rgbColor rgb="FFD6E4F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EB9C"/>
      <rgbColor rgb="FF99CCFF"/>
      <rgbColor rgb="FFFF99CC"/>
      <rgbColor rgb="FFCC99FF"/>
      <rgbColor rgb="FFFCE4D6"/>
      <rgbColor rgb="FF2E75B6"/>
      <rgbColor rgb="FF33CCCC"/>
      <rgbColor rgb="FF92D050"/>
      <rgbColor rgb="FFF0B400"/>
      <rgbColor rgb="FFFF9900"/>
      <rgbColor rgb="FFE36C09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5"/>
  <sheetViews>
    <sheetView showGridLines="0" zoomScaleNormal="100" workbookViewId="0">
      <pane ySplit="2" topLeftCell="A3" activePane="bottomLeft" state="frozen"/>
      <selection pane="bottomLeft" sqref="A1:N1"/>
    </sheetView>
  </sheetViews>
  <sheetFormatPr baseColWidth="10" defaultColWidth="8.6640625" defaultRowHeight="15" x14ac:dyDescent="0.2"/>
  <cols>
    <col min="1" max="1" width="9" customWidth="1"/>
    <col min="2" max="2" width="26" customWidth="1"/>
    <col min="3" max="3" width="14" customWidth="1"/>
    <col min="4" max="4" width="42" customWidth="1"/>
    <col min="5" max="5" width="12" customWidth="1"/>
    <col min="6" max="6" width="10" customWidth="1"/>
    <col min="7" max="8" width="12" customWidth="1"/>
    <col min="9" max="9" width="38" customWidth="1"/>
    <col min="10" max="10" width="12" customWidth="1"/>
    <col min="11" max="12" width="13" customWidth="1"/>
    <col min="13" max="13" width="18" customWidth="1"/>
    <col min="14" max="14" width="13" customWidth="1"/>
  </cols>
  <sheetData>
    <row r="1" spans="1:14" ht="27.75" customHeight="1" x14ac:dyDescent="0.2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</row>
    <row r="2" spans="1:14" ht="18" customHeight="1" x14ac:dyDescent="0.2">
      <c r="A2" s="7" t="s">
        <v>1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</row>
    <row r="3" spans="1:14" ht="36" customHeight="1" x14ac:dyDescent="0.2">
      <c r="A3" s="9" t="s">
        <v>2</v>
      </c>
      <c r="B3" s="9" t="s">
        <v>3</v>
      </c>
      <c r="C3" s="9" t="s">
        <v>4</v>
      </c>
      <c r="D3" s="9" t="s">
        <v>5</v>
      </c>
      <c r="E3" s="9" t="s">
        <v>6</v>
      </c>
      <c r="F3" s="9" t="s">
        <v>7</v>
      </c>
      <c r="G3" s="9" t="s">
        <v>8</v>
      </c>
      <c r="H3" s="9" t="s">
        <v>9</v>
      </c>
      <c r="I3" s="9" t="s">
        <v>10</v>
      </c>
      <c r="J3" s="9" t="s">
        <v>11</v>
      </c>
      <c r="K3" s="9" t="s">
        <v>12</v>
      </c>
      <c r="L3" s="9" t="s">
        <v>13</v>
      </c>
      <c r="M3" s="9" t="s">
        <v>14</v>
      </c>
      <c r="N3" s="9" t="s">
        <v>15</v>
      </c>
    </row>
    <row r="4" spans="1:14" ht="60" customHeight="1" x14ac:dyDescent="0.2">
      <c r="A4" s="10" t="s">
        <v>16</v>
      </c>
      <c r="B4" s="11" t="s">
        <v>17</v>
      </c>
      <c r="C4" s="12" t="s">
        <v>18</v>
      </c>
      <c r="D4" s="13" t="s">
        <v>19</v>
      </c>
      <c r="E4" s="12">
        <v>4</v>
      </c>
      <c r="F4" s="12">
        <v>5</v>
      </c>
      <c r="G4" s="14">
        <f t="shared" ref="G4:G15" si="0">E4*F4</f>
        <v>20</v>
      </c>
      <c r="H4" s="15" t="s">
        <v>20</v>
      </c>
      <c r="I4" s="13" t="s">
        <v>21</v>
      </c>
      <c r="J4" s="12" t="s">
        <v>22</v>
      </c>
      <c r="K4" s="14">
        <v>8</v>
      </c>
      <c r="L4" s="16" t="s">
        <v>23</v>
      </c>
      <c r="M4" s="13" t="s">
        <v>24</v>
      </c>
      <c r="N4" s="12" t="s">
        <v>25</v>
      </c>
    </row>
    <row r="5" spans="1:14" ht="60" customHeight="1" x14ac:dyDescent="0.2">
      <c r="A5" s="17" t="s">
        <v>26</v>
      </c>
      <c r="B5" s="18" t="s">
        <v>27</v>
      </c>
      <c r="C5" s="19" t="s">
        <v>18</v>
      </c>
      <c r="D5" s="20" t="s">
        <v>28</v>
      </c>
      <c r="E5" s="19">
        <v>4</v>
      </c>
      <c r="F5" s="19">
        <v>4</v>
      </c>
      <c r="G5" s="21">
        <f t="shared" si="0"/>
        <v>16</v>
      </c>
      <c r="H5" s="22" t="s">
        <v>29</v>
      </c>
      <c r="I5" s="20" t="s">
        <v>30</v>
      </c>
      <c r="J5" s="19" t="s">
        <v>22</v>
      </c>
      <c r="K5" s="21">
        <v>8</v>
      </c>
      <c r="L5" s="16" t="s">
        <v>23</v>
      </c>
      <c r="M5" s="20" t="s">
        <v>24</v>
      </c>
      <c r="N5" s="19" t="s">
        <v>25</v>
      </c>
    </row>
    <row r="6" spans="1:14" ht="60" customHeight="1" x14ac:dyDescent="0.2">
      <c r="A6" s="10" t="s">
        <v>31</v>
      </c>
      <c r="B6" s="11" t="s">
        <v>32</v>
      </c>
      <c r="C6" s="12" t="s">
        <v>18</v>
      </c>
      <c r="D6" s="13" t="s">
        <v>33</v>
      </c>
      <c r="E6" s="12">
        <v>3</v>
      </c>
      <c r="F6" s="12">
        <v>4</v>
      </c>
      <c r="G6" s="14">
        <f t="shared" si="0"/>
        <v>12</v>
      </c>
      <c r="H6" s="22" t="s">
        <v>29</v>
      </c>
      <c r="I6" s="13" t="s">
        <v>34</v>
      </c>
      <c r="J6" s="12" t="s">
        <v>22</v>
      </c>
      <c r="K6" s="14">
        <v>6</v>
      </c>
      <c r="L6" s="16" t="s">
        <v>23</v>
      </c>
      <c r="M6" s="13" t="s">
        <v>24</v>
      </c>
      <c r="N6" s="12" t="s">
        <v>35</v>
      </c>
    </row>
    <row r="7" spans="1:14" ht="60" customHeight="1" x14ac:dyDescent="0.2">
      <c r="A7" s="17" t="s">
        <v>36</v>
      </c>
      <c r="B7" s="18" t="s">
        <v>37</v>
      </c>
      <c r="C7" s="19" t="s">
        <v>38</v>
      </c>
      <c r="D7" s="20" t="s">
        <v>39</v>
      </c>
      <c r="E7" s="19">
        <v>2</v>
      </c>
      <c r="F7" s="19">
        <v>5</v>
      </c>
      <c r="G7" s="21">
        <f t="shared" si="0"/>
        <v>10</v>
      </c>
      <c r="H7" s="22" t="s">
        <v>29</v>
      </c>
      <c r="I7" s="20" t="s">
        <v>40</v>
      </c>
      <c r="J7" s="19" t="s">
        <v>22</v>
      </c>
      <c r="K7" s="21">
        <v>6</v>
      </c>
      <c r="L7" s="16" t="s">
        <v>23</v>
      </c>
      <c r="M7" s="20" t="s">
        <v>41</v>
      </c>
      <c r="N7" s="19" t="s">
        <v>25</v>
      </c>
    </row>
    <row r="8" spans="1:14" ht="60" customHeight="1" x14ac:dyDescent="0.2">
      <c r="A8" s="10" t="s">
        <v>42</v>
      </c>
      <c r="B8" s="11" t="s">
        <v>43</v>
      </c>
      <c r="C8" s="12" t="s">
        <v>44</v>
      </c>
      <c r="D8" s="13" t="s">
        <v>45</v>
      </c>
      <c r="E8" s="12">
        <v>3</v>
      </c>
      <c r="F8" s="12">
        <v>4</v>
      </c>
      <c r="G8" s="14">
        <f t="shared" si="0"/>
        <v>12</v>
      </c>
      <c r="H8" s="22" t="s">
        <v>29</v>
      </c>
      <c r="I8" s="13" t="s">
        <v>46</v>
      </c>
      <c r="J8" s="12" t="s">
        <v>47</v>
      </c>
      <c r="K8" s="14">
        <v>9</v>
      </c>
      <c r="L8" s="16" t="s">
        <v>23</v>
      </c>
      <c r="M8" s="13" t="s">
        <v>24</v>
      </c>
      <c r="N8" s="12" t="s">
        <v>25</v>
      </c>
    </row>
    <row r="9" spans="1:14" ht="60" customHeight="1" x14ac:dyDescent="0.2">
      <c r="A9" s="17" t="s">
        <v>48</v>
      </c>
      <c r="B9" s="18" t="s">
        <v>49</v>
      </c>
      <c r="C9" s="19" t="s">
        <v>18</v>
      </c>
      <c r="D9" s="20" t="s">
        <v>50</v>
      </c>
      <c r="E9" s="19">
        <v>3</v>
      </c>
      <c r="F9" s="19">
        <v>3</v>
      </c>
      <c r="G9" s="21">
        <f t="shared" si="0"/>
        <v>9</v>
      </c>
      <c r="H9" s="16" t="s">
        <v>23</v>
      </c>
      <c r="I9" s="20" t="s">
        <v>51</v>
      </c>
      <c r="J9" s="19" t="s">
        <v>22</v>
      </c>
      <c r="K9" s="21">
        <v>4</v>
      </c>
      <c r="L9" s="23" t="s">
        <v>52</v>
      </c>
      <c r="M9" s="20" t="s">
        <v>24</v>
      </c>
      <c r="N9" s="19" t="s">
        <v>35</v>
      </c>
    </row>
    <row r="10" spans="1:14" ht="60" customHeight="1" x14ac:dyDescent="0.2">
      <c r="A10" s="10" t="s">
        <v>53</v>
      </c>
      <c r="B10" s="11" t="s">
        <v>54</v>
      </c>
      <c r="C10" s="12" t="s">
        <v>44</v>
      </c>
      <c r="D10" s="13" t="s">
        <v>55</v>
      </c>
      <c r="E10" s="12">
        <v>3</v>
      </c>
      <c r="F10" s="12">
        <v>4</v>
      </c>
      <c r="G10" s="14">
        <f t="shared" si="0"/>
        <v>12</v>
      </c>
      <c r="H10" s="22" t="s">
        <v>29</v>
      </c>
      <c r="I10" s="13" t="s">
        <v>56</v>
      </c>
      <c r="J10" s="12" t="s">
        <v>22</v>
      </c>
      <c r="K10" s="14">
        <v>6</v>
      </c>
      <c r="L10" s="16" t="s">
        <v>23</v>
      </c>
      <c r="M10" s="13" t="s">
        <v>57</v>
      </c>
      <c r="N10" s="12" t="s">
        <v>25</v>
      </c>
    </row>
    <row r="11" spans="1:14" ht="60" customHeight="1" x14ac:dyDescent="0.2">
      <c r="A11" s="17" t="s">
        <v>58</v>
      </c>
      <c r="B11" s="18" t="s">
        <v>59</v>
      </c>
      <c r="C11" s="19" t="s">
        <v>38</v>
      </c>
      <c r="D11" s="20" t="s">
        <v>60</v>
      </c>
      <c r="E11" s="19">
        <v>4</v>
      </c>
      <c r="F11" s="19">
        <v>3</v>
      </c>
      <c r="G11" s="21">
        <f t="shared" si="0"/>
        <v>12</v>
      </c>
      <c r="H11" s="22" t="s">
        <v>29</v>
      </c>
      <c r="I11" s="20" t="s">
        <v>61</v>
      </c>
      <c r="J11" s="19" t="s">
        <v>22</v>
      </c>
      <c r="K11" s="21">
        <v>6</v>
      </c>
      <c r="L11" s="16" t="s">
        <v>23</v>
      </c>
      <c r="M11" s="20" t="s">
        <v>24</v>
      </c>
      <c r="N11" s="19" t="s">
        <v>35</v>
      </c>
    </row>
    <row r="12" spans="1:14" ht="60" customHeight="1" x14ac:dyDescent="0.2">
      <c r="A12" s="10" t="s">
        <v>62</v>
      </c>
      <c r="B12" s="11" t="s">
        <v>63</v>
      </c>
      <c r="C12" s="12" t="s">
        <v>64</v>
      </c>
      <c r="D12" s="13" t="s">
        <v>65</v>
      </c>
      <c r="E12" s="12">
        <v>3</v>
      </c>
      <c r="F12" s="12">
        <v>4</v>
      </c>
      <c r="G12" s="14">
        <f t="shared" si="0"/>
        <v>12</v>
      </c>
      <c r="H12" s="22" t="s">
        <v>29</v>
      </c>
      <c r="I12" s="13" t="s">
        <v>66</v>
      </c>
      <c r="J12" s="12" t="s">
        <v>22</v>
      </c>
      <c r="K12" s="14">
        <v>8</v>
      </c>
      <c r="L12" s="16" t="s">
        <v>23</v>
      </c>
      <c r="M12" s="13" t="s">
        <v>67</v>
      </c>
      <c r="N12" s="12" t="s">
        <v>35</v>
      </c>
    </row>
    <row r="13" spans="1:14" ht="60" customHeight="1" x14ac:dyDescent="0.2">
      <c r="A13" s="17" t="s">
        <v>68</v>
      </c>
      <c r="B13" s="18" t="s">
        <v>69</v>
      </c>
      <c r="C13" s="19" t="s">
        <v>64</v>
      </c>
      <c r="D13" s="20" t="s">
        <v>70</v>
      </c>
      <c r="E13" s="19">
        <v>4</v>
      </c>
      <c r="F13" s="19">
        <v>4</v>
      </c>
      <c r="G13" s="21">
        <f t="shared" si="0"/>
        <v>16</v>
      </c>
      <c r="H13" s="22" t="s">
        <v>29</v>
      </c>
      <c r="I13" s="20" t="s">
        <v>71</v>
      </c>
      <c r="J13" s="19" t="s">
        <v>22</v>
      </c>
      <c r="K13" s="21">
        <v>8</v>
      </c>
      <c r="L13" s="16" t="s">
        <v>23</v>
      </c>
      <c r="M13" s="20" t="s">
        <v>72</v>
      </c>
      <c r="N13" s="19" t="s">
        <v>35</v>
      </c>
    </row>
    <row r="14" spans="1:14" ht="60" customHeight="1" x14ac:dyDescent="0.2">
      <c r="A14" s="10" t="s">
        <v>73</v>
      </c>
      <c r="B14" s="11" t="s">
        <v>74</v>
      </c>
      <c r="C14" s="12" t="s">
        <v>64</v>
      </c>
      <c r="D14" s="13" t="s">
        <v>75</v>
      </c>
      <c r="E14" s="12">
        <v>4</v>
      </c>
      <c r="F14" s="12">
        <v>2</v>
      </c>
      <c r="G14" s="14">
        <f t="shared" si="0"/>
        <v>8</v>
      </c>
      <c r="H14" s="16" t="s">
        <v>23</v>
      </c>
      <c r="I14" s="13" t="s">
        <v>76</v>
      </c>
      <c r="J14" s="12" t="s">
        <v>77</v>
      </c>
      <c r="K14" s="14">
        <v>6</v>
      </c>
      <c r="L14" s="16" t="s">
        <v>23</v>
      </c>
      <c r="M14" s="13" t="s">
        <v>24</v>
      </c>
      <c r="N14" s="12" t="s">
        <v>25</v>
      </c>
    </row>
    <row r="15" spans="1:14" ht="60" customHeight="1" x14ac:dyDescent="0.2">
      <c r="A15" s="17" t="s">
        <v>78</v>
      </c>
      <c r="B15" s="18" t="s">
        <v>79</v>
      </c>
      <c r="C15" s="19" t="s">
        <v>44</v>
      </c>
      <c r="D15" s="20" t="s">
        <v>80</v>
      </c>
      <c r="E15" s="19">
        <v>2</v>
      </c>
      <c r="F15" s="19">
        <v>3</v>
      </c>
      <c r="G15" s="21">
        <f t="shared" si="0"/>
        <v>6</v>
      </c>
      <c r="H15" s="16" t="s">
        <v>23</v>
      </c>
      <c r="I15" s="20" t="s">
        <v>81</v>
      </c>
      <c r="J15" s="19" t="s">
        <v>77</v>
      </c>
      <c r="K15" s="21">
        <v>3</v>
      </c>
      <c r="L15" s="23" t="s">
        <v>52</v>
      </c>
      <c r="M15" s="20" t="s">
        <v>82</v>
      </c>
      <c r="N15" s="19" t="s">
        <v>25</v>
      </c>
    </row>
  </sheetData>
  <mergeCells count="2">
    <mergeCell ref="A1:N1"/>
    <mergeCell ref="A2:N2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6"/>
  <sheetViews>
    <sheetView showGridLines="0" zoomScaleNormal="100" workbookViewId="0">
      <selection sqref="A1:G1"/>
    </sheetView>
  </sheetViews>
  <sheetFormatPr baseColWidth="10" defaultColWidth="8.6640625" defaultRowHeight="15" x14ac:dyDescent="0.2"/>
  <cols>
    <col min="1" max="1" width="18" customWidth="1"/>
    <col min="2" max="6" width="14" customWidth="1"/>
  </cols>
  <sheetData>
    <row r="1" spans="1:7" ht="30" customHeight="1" x14ac:dyDescent="0.2">
      <c r="A1" s="8" t="s">
        <v>83</v>
      </c>
      <c r="B1" s="8"/>
      <c r="C1" s="8"/>
      <c r="D1" s="8"/>
      <c r="E1" s="8"/>
      <c r="F1" s="8"/>
      <c r="G1" s="8"/>
    </row>
    <row r="2" spans="1:7" ht="18" customHeight="1" x14ac:dyDescent="0.2">
      <c r="A2" s="7" t="s">
        <v>84</v>
      </c>
      <c r="B2" s="7"/>
      <c r="C2" s="7"/>
      <c r="D2" s="7"/>
      <c r="E2" s="7"/>
      <c r="F2" s="7"/>
      <c r="G2" s="7"/>
    </row>
    <row r="4" spans="1:7" ht="15" customHeight="1" x14ac:dyDescent="0.2">
      <c r="A4" s="6" t="s">
        <v>85</v>
      </c>
      <c r="B4" s="6" t="s">
        <v>86</v>
      </c>
      <c r="C4" s="6"/>
      <c r="D4" s="6"/>
      <c r="E4" s="6"/>
      <c r="F4" s="6"/>
      <c r="G4" s="6"/>
    </row>
    <row r="5" spans="1:7" ht="36" customHeight="1" x14ac:dyDescent="0.2">
      <c r="A5" s="6"/>
      <c r="B5" s="24" t="s">
        <v>87</v>
      </c>
      <c r="C5" s="24" t="s">
        <v>88</v>
      </c>
      <c r="D5" s="24" t="s">
        <v>89</v>
      </c>
      <c r="E5" s="24" t="s">
        <v>90</v>
      </c>
      <c r="F5" s="24" t="s">
        <v>91</v>
      </c>
    </row>
    <row r="6" spans="1:7" ht="39.75" customHeight="1" x14ac:dyDescent="0.2">
      <c r="A6" s="24" t="s">
        <v>92</v>
      </c>
      <c r="B6" s="25" t="s">
        <v>93</v>
      </c>
      <c r="C6" s="26" t="s">
        <v>94</v>
      </c>
      <c r="D6" s="26" t="s">
        <v>95</v>
      </c>
      <c r="E6" s="27" t="s">
        <v>96</v>
      </c>
      <c r="F6" s="27" t="s">
        <v>97</v>
      </c>
    </row>
    <row r="7" spans="1:7" ht="39.75" customHeight="1" x14ac:dyDescent="0.2">
      <c r="A7" s="24" t="s">
        <v>98</v>
      </c>
      <c r="B7" s="28" t="s">
        <v>99</v>
      </c>
      <c r="C7" s="25" t="s">
        <v>100</v>
      </c>
      <c r="D7" s="26" t="s">
        <v>101</v>
      </c>
      <c r="E7" s="26" t="s">
        <v>102</v>
      </c>
      <c r="F7" s="27" t="s">
        <v>96</v>
      </c>
    </row>
    <row r="8" spans="1:7" ht="39.75" customHeight="1" x14ac:dyDescent="0.2">
      <c r="A8" s="24" t="s">
        <v>103</v>
      </c>
      <c r="B8" s="28" t="s">
        <v>104</v>
      </c>
      <c r="C8" s="25" t="s">
        <v>105</v>
      </c>
      <c r="D8" s="25" t="s">
        <v>106</v>
      </c>
      <c r="E8" s="26" t="s">
        <v>101</v>
      </c>
      <c r="F8" s="26" t="s">
        <v>95</v>
      </c>
    </row>
    <row r="9" spans="1:7" ht="39.75" customHeight="1" x14ac:dyDescent="0.2">
      <c r="A9" s="24" t="s">
        <v>107</v>
      </c>
      <c r="B9" s="28" t="s">
        <v>108</v>
      </c>
      <c r="C9" s="28" t="s">
        <v>99</v>
      </c>
      <c r="D9" s="25" t="s">
        <v>105</v>
      </c>
      <c r="E9" s="25" t="s">
        <v>100</v>
      </c>
      <c r="F9" s="26" t="s">
        <v>94</v>
      </c>
    </row>
    <row r="10" spans="1:7" ht="39.75" customHeight="1" x14ac:dyDescent="0.2">
      <c r="A10" s="24" t="s">
        <v>109</v>
      </c>
      <c r="B10" s="28" t="s">
        <v>110</v>
      </c>
      <c r="C10" s="28" t="s">
        <v>108</v>
      </c>
      <c r="D10" s="28" t="s">
        <v>104</v>
      </c>
      <c r="E10" s="28" t="s">
        <v>99</v>
      </c>
      <c r="F10" s="25" t="s">
        <v>93</v>
      </c>
    </row>
    <row r="12" spans="1:7" ht="16" x14ac:dyDescent="0.2">
      <c r="A12" s="29" t="s">
        <v>111</v>
      </c>
    </row>
    <row r="13" spans="1:7" x14ac:dyDescent="0.2">
      <c r="A13" s="30" t="s">
        <v>112</v>
      </c>
      <c r="B13" s="30" t="s">
        <v>52</v>
      </c>
    </row>
    <row r="14" spans="1:7" x14ac:dyDescent="0.2">
      <c r="A14" s="31" t="s">
        <v>113</v>
      </c>
      <c r="B14" s="31" t="s">
        <v>23</v>
      </c>
    </row>
    <row r="15" spans="1:7" x14ac:dyDescent="0.2">
      <c r="A15" s="32" t="s">
        <v>114</v>
      </c>
      <c r="B15" s="32" t="s">
        <v>29</v>
      </c>
    </row>
    <row r="16" spans="1:7" x14ac:dyDescent="0.2">
      <c r="A16" s="33" t="s">
        <v>115</v>
      </c>
      <c r="B16" s="33" t="s">
        <v>20</v>
      </c>
    </row>
  </sheetData>
  <mergeCells count="4">
    <mergeCell ref="A1:G1"/>
    <mergeCell ref="A2:G2"/>
    <mergeCell ref="A4:A5"/>
    <mergeCell ref="B4:G4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31"/>
  <sheetViews>
    <sheetView showGridLines="0" tabSelected="1" zoomScaleNormal="100" workbookViewId="0"/>
  </sheetViews>
  <sheetFormatPr baseColWidth="10" defaultColWidth="8.6640625" defaultRowHeight="15" x14ac:dyDescent="0.2"/>
  <cols>
    <col min="1" max="1" width="2" customWidth="1"/>
    <col min="2" max="2" width="28" customWidth="1"/>
    <col min="3" max="3" width="60" customWidth="1"/>
  </cols>
  <sheetData>
    <row r="1" spans="2:3" ht="30" customHeight="1" x14ac:dyDescent="0.2">
      <c r="B1" s="5" t="s">
        <v>116</v>
      </c>
      <c r="C1" s="5"/>
    </row>
    <row r="2" spans="2:3" ht="18" customHeight="1" x14ac:dyDescent="0.2">
      <c r="B2" s="7" t="s">
        <v>117</v>
      </c>
      <c r="C2" s="7"/>
    </row>
    <row r="4" spans="2:3" ht="21.75" customHeight="1" x14ac:dyDescent="0.2">
      <c r="B4" s="4" t="s">
        <v>118</v>
      </c>
      <c r="C4" s="4"/>
    </row>
    <row r="5" spans="2:3" ht="21.75" customHeight="1" x14ac:dyDescent="0.2">
      <c r="B5" s="34" t="s">
        <v>119</v>
      </c>
      <c r="C5" s="35" t="s">
        <v>110</v>
      </c>
    </row>
    <row r="6" spans="2:3" ht="21.75" customHeight="1" x14ac:dyDescent="0.2">
      <c r="B6" s="36" t="s">
        <v>120</v>
      </c>
      <c r="C6" s="37" t="s">
        <v>108</v>
      </c>
    </row>
    <row r="7" spans="2:3" ht="21.75" customHeight="1" x14ac:dyDescent="0.2">
      <c r="B7" s="38" t="s">
        <v>121</v>
      </c>
      <c r="C7" s="39" t="s">
        <v>100</v>
      </c>
    </row>
    <row r="8" spans="2:3" ht="21.75" customHeight="1" x14ac:dyDescent="0.2">
      <c r="B8" s="40" t="s">
        <v>122</v>
      </c>
      <c r="C8" s="41" t="s">
        <v>110</v>
      </c>
    </row>
    <row r="9" spans="2:3" ht="21.75" customHeight="1" x14ac:dyDescent="0.2">
      <c r="B9" s="42" t="s">
        <v>123</v>
      </c>
      <c r="C9" s="43" t="s">
        <v>101</v>
      </c>
    </row>
    <row r="11" spans="2:3" ht="21.75" customHeight="1" x14ac:dyDescent="0.2">
      <c r="B11" s="4" t="s">
        <v>124</v>
      </c>
      <c r="C11" s="4"/>
    </row>
    <row r="12" spans="2:3" ht="19.5" customHeight="1" x14ac:dyDescent="0.2">
      <c r="B12" s="3" t="s">
        <v>125</v>
      </c>
      <c r="C12" s="3"/>
    </row>
    <row r="13" spans="2:3" ht="49.5" customHeight="1" x14ac:dyDescent="0.2">
      <c r="B13" s="2" t="s">
        <v>126</v>
      </c>
      <c r="C13" s="2"/>
    </row>
    <row r="14" spans="2:3" ht="49.5" customHeight="1" x14ac:dyDescent="0.2">
      <c r="B14" s="2"/>
      <c r="C14" s="2"/>
    </row>
    <row r="16" spans="2:3" ht="19.5" customHeight="1" x14ac:dyDescent="0.2">
      <c r="B16" s="1" t="s">
        <v>127</v>
      </c>
      <c r="C16" s="1"/>
    </row>
    <row r="17" spans="2:3" ht="49.5" customHeight="1" x14ac:dyDescent="0.2">
      <c r="B17" s="2" t="s">
        <v>128</v>
      </c>
      <c r="C17" s="2"/>
    </row>
    <row r="18" spans="2:3" ht="49.5" customHeight="1" x14ac:dyDescent="0.2">
      <c r="B18" s="2"/>
      <c r="C18" s="2"/>
    </row>
    <row r="20" spans="2:3" ht="19.5" customHeight="1" x14ac:dyDescent="0.2">
      <c r="B20" s="1" t="s">
        <v>129</v>
      </c>
      <c r="C20" s="1"/>
    </row>
    <row r="21" spans="2:3" ht="49.5" customHeight="1" x14ac:dyDescent="0.2">
      <c r="B21" s="2" t="s">
        <v>130</v>
      </c>
      <c r="C21" s="2"/>
    </row>
    <row r="22" spans="2:3" ht="49.5" customHeight="1" x14ac:dyDescent="0.2">
      <c r="B22" s="2"/>
      <c r="C22" s="2"/>
    </row>
    <row r="25" spans="2:3" ht="21.75" customHeight="1" x14ac:dyDescent="0.2">
      <c r="B25" s="4" t="s">
        <v>131</v>
      </c>
      <c r="C25" s="4"/>
    </row>
    <row r="26" spans="2:3" ht="21.75" customHeight="1" x14ac:dyDescent="0.2">
      <c r="B26" s="44" t="s">
        <v>132</v>
      </c>
      <c r="C26" s="45" t="s">
        <v>133</v>
      </c>
    </row>
    <row r="27" spans="2:3" ht="21.75" customHeight="1" x14ac:dyDescent="0.2">
      <c r="B27" s="44" t="s">
        <v>134</v>
      </c>
      <c r="C27" s="45" t="s">
        <v>135</v>
      </c>
    </row>
    <row r="28" spans="2:3" ht="21.75" customHeight="1" x14ac:dyDescent="0.2">
      <c r="B28" s="44" t="s">
        <v>136</v>
      </c>
      <c r="C28" s="45" t="s">
        <v>137</v>
      </c>
    </row>
    <row r="29" spans="2:3" ht="21.75" customHeight="1" x14ac:dyDescent="0.2">
      <c r="B29" s="44" t="s">
        <v>138</v>
      </c>
      <c r="C29" s="45" t="s">
        <v>139</v>
      </c>
    </row>
    <row r="30" spans="2:3" ht="21.75" customHeight="1" x14ac:dyDescent="0.2">
      <c r="B30" s="44" t="s">
        <v>140</v>
      </c>
      <c r="C30" s="45" t="s">
        <v>141</v>
      </c>
    </row>
    <row r="31" spans="2:3" ht="21.75" customHeight="1" x14ac:dyDescent="0.2">
      <c r="B31" s="44" t="s">
        <v>142</v>
      </c>
      <c r="C31" s="45" t="s">
        <v>143</v>
      </c>
    </row>
  </sheetData>
  <mergeCells count="11">
    <mergeCell ref="B25:C25"/>
    <mergeCell ref="B13:C14"/>
    <mergeCell ref="B16:C16"/>
    <mergeCell ref="B17:C18"/>
    <mergeCell ref="B20:C20"/>
    <mergeCell ref="B21:C22"/>
    <mergeCell ref="B1:C1"/>
    <mergeCell ref="B2:C2"/>
    <mergeCell ref="B4:C4"/>
    <mergeCell ref="B11:C11"/>
    <mergeCell ref="B12:C1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Risk Register</vt:lpstr>
      <vt:lpstr>Risk Scoring Matrix</vt:lpstr>
      <vt:lpstr>Executive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haleyboislim@yahoo.com</cp:lastModifiedBy>
  <cp:revision>0</cp:revision>
  <dcterms:created xsi:type="dcterms:W3CDTF">2026-06-01T20:31:25Z</dcterms:created>
  <dcterms:modified xsi:type="dcterms:W3CDTF">2026-06-01T20:34:36Z</dcterms:modified>
  <dc:language>en-US</dc:language>
</cp:coreProperties>
</file>